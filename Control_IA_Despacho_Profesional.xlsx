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varonaasesores-my.sharepoint.com/personal/lautaro_sarni_varona_es/Documents/Escritorio/"/>
    </mc:Choice>
  </mc:AlternateContent>
  <xr:revisionPtr revIDLastSave="29" documentId="14_{0222E6B2-9E87-46AF-850D-95040EE14761}" xr6:coauthVersionLast="47" xr6:coauthVersionMax="47" xr10:uidLastSave="{224754FD-E988-47A4-A512-A8252C821FC0}"/>
  <bookViews>
    <workbookView xWindow="-110" yWindow="-110" windowWidth="19420" windowHeight="10300" xr2:uid="{00000000-000D-0000-FFFF-FFFF00000000}"/>
  </bookViews>
  <sheets>
    <sheet name="Control Retos IA" sheetId="1" r:id="rId1"/>
    <sheet name="Catálogos" sheetId="2" r:id="rId2"/>
    <sheet name="Dashboard"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3" i="1" l="1"/>
  <c r="Q4" i="1"/>
  <c r="Q5" i="1"/>
  <c r="Q6" i="1"/>
  <c r="Q7" i="1"/>
  <c r="Q8" i="1"/>
  <c r="Q9" i="1"/>
  <c r="Q10" i="1"/>
  <c r="Q11" i="1"/>
  <c r="Q2" i="1"/>
  <c r="E8" i="3"/>
  <c r="E7" i="3"/>
  <c r="E6" i="3"/>
  <c r="B6" i="3"/>
  <c r="E5" i="3"/>
  <c r="B5" i="3"/>
  <c r="E4" i="3"/>
  <c r="B4" i="3"/>
  <c r="E3" i="3"/>
  <c r="B3" i="3"/>
  <c r="M202" i="1"/>
  <c r="M201" i="1"/>
  <c r="M200" i="1"/>
  <c r="M199" i="1"/>
  <c r="M198" i="1"/>
  <c r="M197" i="1"/>
  <c r="M196" i="1"/>
  <c r="M195" i="1"/>
  <c r="M194" i="1"/>
  <c r="M193" i="1"/>
  <c r="M192" i="1"/>
  <c r="M191" i="1"/>
  <c r="M190" i="1"/>
  <c r="M189" i="1"/>
  <c r="M188" i="1"/>
  <c r="M187" i="1"/>
  <c r="M186" i="1"/>
  <c r="M185" i="1"/>
  <c r="M184" i="1"/>
  <c r="M183" i="1"/>
  <c r="M182" i="1"/>
  <c r="M181" i="1"/>
  <c r="M180" i="1"/>
  <c r="M179" i="1"/>
  <c r="M178" i="1"/>
  <c r="M177" i="1"/>
  <c r="M176" i="1"/>
  <c r="M175" i="1"/>
  <c r="M174" i="1"/>
  <c r="M173" i="1"/>
  <c r="M172" i="1"/>
  <c r="M171" i="1"/>
  <c r="M170" i="1"/>
  <c r="M169" i="1"/>
  <c r="M168" i="1"/>
  <c r="M167" i="1"/>
  <c r="M166" i="1"/>
  <c r="M165" i="1"/>
  <c r="M164" i="1"/>
  <c r="M163" i="1"/>
  <c r="M162" i="1"/>
  <c r="M161" i="1"/>
  <c r="M160" i="1"/>
  <c r="M159" i="1"/>
  <c r="M158" i="1"/>
  <c r="M157" i="1"/>
  <c r="M156" i="1"/>
  <c r="M155" i="1"/>
  <c r="M154" i="1"/>
  <c r="M153" i="1"/>
  <c r="M152" i="1"/>
  <c r="M151" i="1"/>
  <c r="M150" i="1"/>
  <c r="M149" i="1"/>
  <c r="M148" i="1"/>
  <c r="M147" i="1"/>
  <c r="M146" i="1"/>
  <c r="M145" i="1"/>
  <c r="M144" i="1"/>
  <c r="M143" i="1"/>
  <c r="M142" i="1"/>
  <c r="M141" i="1"/>
  <c r="M140" i="1"/>
  <c r="M139" i="1"/>
  <c r="M138" i="1"/>
  <c r="M137" i="1"/>
  <c r="M136" i="1"/>
  <c r="M135" i="1"/>
  <c r="M134" i="1"/>
  <c r="M133" i="1"/>
  <c r="M132" i="1"/>
  <c r="M131" i="1"/>
  <c r="M130" i="1"/>
  <c r="M129" i="1"/>
  <c r="M128" i="1"/>
  <c r="M127" i="1"/>
  <c r="M126" i="1"/>
  <c r="M125" i="1"/>
  <c r="M124" i="1"/>
  <c r="M123" i="1"/>
  <c r="M122" i="1"/>
  <c r="M121" i="1"/>
  <c r="M120" i="1"/>
  <c r="M119" i="1"/>
  <c r="M118" i="1"/>
  <c r="M117" i="1"/>
  <c r="M116" i="1"/>
  <c r="M115" i="1"/>
  <c r="M114" i="1"/>
  <c r="M113" i="1"/>
  <c r="M112" i="1"/>
  <c r="M111" i="1"/>
  <c r="M110" i="1"/>
  <c r="M109" i="1"/>
  <c r="M108" i="1"/>
  <c r="M107" i="1"/>
  <c r="M106" i="1"/>
  <c r="M105" i="1"/>
  <c r="M104" i="1"/>
  <c r="M103" i="1"/>
  <c r="M102" i="1"/>
  <c r="M101" i="1"/>
  <c r="M100" i="1"/>
  <c r="M99" i="1"/>
  <c r="M98" i="1"/>
  <c r="M97" i="1"/>
  <c r="M96" i="1"/>
  <c r="M95" i="1"/>
  <c r="M94" i="1"/>
  <c r="M93" i="1"/>
  <c r="M92" i="1"/>
  <c r="M91" i="1"/>
  <c r="M90" i="1"/>
  <c r="M89" i="1"/>
  <c r="M88" i="1"/>
  <c r="M87" i="1"/>
  <c r="M86" i="1"/>
  <c r="M85" i="1"/>
  <c r="M84" i="1"/>
  <c r="M83" i="1"/>
  <c r="M82" i="1"/>
  <c r="M81" i="1"/>
  <c r="M80" i="1"/>
  <c r="M79" i="1"/>
  <c r="M78" i="1"/>
  <c r="M77" i="1"/>
  <c r="M76" i="1"/>
  <c r="M75" i="1"/>
  <c r="M74" i="1"/>
  <c r="M73" i="1"/>
  <c r="M72" i="1"/>
  <c r="M71" i="1"/>
  <c r="M70" i="1"/>
  <c r="M69" i="1"/>
  <c r="M68" i="1"/>
  <c r="M67" i="1"/>
  <c r="M66" i="1"/>
  <c r="M65" i="1"/>
  <c r="M64" i="1"/>
  <c r="M63" i="1"/>
  <c r="M62" i="1"/>
  <c r="M61" i="1"/>
  <c r="M60" i="1"/>
  <c r="M59" i="1"/>
  <c r="M58" i="1"/>
  <c r="M57" i="1"/>
  <c r="M56" i="1"/>
  <c r="M55" i="1"/>
  <c r="M54" i="1"/>
  <c r="M53" i="1"/>
  <c r="M52" i="1"/>
  <c r="M51" i="1"/>
  <c r="M50" i="1"/>
  <c r="M49" i="1"/>
  <c r="M48" i="1"/>
  <c r="M47" i="1"/>
  <c r="M46" i="1"/>
  <c r="M45" i="1"/>
  <c r="M44" i="1"/>
  <c r="M43" i="1"/>
  <c r="M42" i="1"/>
  <c r="M41" i="1"/>
  <c r="M40" i="1"/>
  <c r="M39" i="1"/>
  <c r="M38" i="1"/>
  <c r="M37" i="1"/>
  <c r="M36" i="1"/>
  <c r="M35" i="1"/>
  <c r="M34" i="1"/>
  <c r="M33" i="1"/>
  <c r="M32" i="1"/>
  <c r="M31" i="1"/>
  <c r="M30" i="1"/>
  <c r="M29" i="1"/>
  <c r="M28" i="1"/>
  <c r="M27" i="1"/>
  <c r="M11" i="1"/>
  <c r="M10" i="1"/>
  <c r="M9" i="1"/>
  <c r="M8" i="1"/>
  <c r="M7" i="1"/>
  <c r="M6" i="1"/>
  <c r="M5" i="1"/>
  <c r="M4" i="1"/>
  <c r="M2" i="1"/>
</calcChain>
</file>

<file path=xl/sharedStrings.xml><?xml version="1.0" encoding="utf-8"?>
<sst xmlns="http://schemas.openxmlformats.org/spreadsheetml/2006/main" count="78" uniqueCount="59">
  <si>
    <t>ID</t>
  </si>
  <si>
    <t>Área</t>
  </si>
  <si>
    <t>Proyecto / Reto IA</t>
  </si>
  <si>
    <t>Responsable</t>
  </si>
  <si>
    <t>Fecha Inicio</t>
  </si>
  <si>
    <t>Fecha Objetivo</t>
  </si>
  <si>
    <t>Prioridad (1-5)</t>
  </si>
  <si>
    <t>Impacto (1-5)</t>
  </si>
  <si>
    <t>Dificultad (1-5)</t>
  </si>
  <si>
    <t>Horas Estimadas</t>
  </si>
  <si>
    <t>Horas Realizadas</t>
  </si>
  <si>
    <t>% Avance</t>
  </si>
  <si>
    <t>Desviación Horas</t>
  </si>
  <si>
    <t>Estado</t>
  </si>
  <si>
    <t>Resultado Final</t>
  </si>
  <si>
    <t>Estados</t>
  </si>
  <si>
    <t>Idea</t>
  </si>
  <si>
    <t>Diseño</t>
  </si>
  <si>
    <t>Desarrollo</t>
  </si>
  <si>
    <t>Pruebas</t>
  </si>
  <si>
    <t>Implantado</t>
  </si>
  <si>
    <t>Descartado</t>
  </si>
  <si>
    <t>Cuadro de Mando IA</t>
  </si>
  <si>
    <t>Cantidad</t>
  </si>
  <si>
    <t>Retos Totales</t>
  </si>
  <si>
    <t>Avance Medio (%)</t>
  </si>
  <si>
    <t>PROCESAL</t>
  </si>
  <si>
    <t>Comprobar que los datos de 1.916 matrículas, con número de bastidor y titular que aparecen en una pluralidad de documentos concuerdan con los burofaxes creados por Varona</t>
  </si>
  <si>
    <t>Margarita</t>
  </si>
  <si>
    <t>Se ha conseguido el objetivo del reto.</t>
  </si>
  <si>
    <t>Ventajas: mucha rapidez para revisar los posibles fallos que existían en los MASC que estaban en formado Word de forma que las revisiones se pudieron hacer en 3 días de jornada completa. Marcaba exactamente el error, lo que permitía solucionar más rápido el fallo.</t>
  </si>
  <si>
    <t>Observaciones (ventajas)</t>
  </si>
  <si>
    <t>Puntos de mejora</t>
  </si>
  <si>
    <t xml:space="preserve">Errores en la lectura de los pdfs (direcciones, precios no los leía bien). Solo puede meter directrices al principio, por lo que luego no se puede añadir. Que haya varios filtros a la hora de comprobar para ir más rápido. Hay que explicar muy bien las directrices al principio para que funcione correctamente (unos 20 min/30 para que se entienda bien el fin).  </t>
  </si>
  <si>
    <t>Posible modificación en los MASC realizados el remitente de los mismos de forma automática y posterior revisión</t>
  </si>
  <si>
    <t>Revisión de la documentación para posterior preparación de demandas de cartel de camiones para, a continuación, revisar los datos incluidos en las demandas</t>
  </si>
  <si>
    <t>PROCESAL LABORAL</t>
  </si>
  <si>
    <t>Resumir una causa penal de aproximadamente 25.000 páginas y obtener una explicación/resumen de la misma</t>
  </si>
  <si>
    <t>Mantvydas</t>
  </si>
  <si>
    <t>Se ha conseguido el objetivo del reto, pero no es totalmente fiable.</t>
  </si>
  <si>
    <t>Mucha rapidez para comprimir toda la causa. Ha creado un bot de CHATHPT en el cual le puedo hacer preguntas sobre la causa y me indica en qué parte de la causa se encuentra. A modo de ejemplo, dime donde esta el Auto de fecha 12 de febrero de 2025 y te contesta en qué parte está sin obtener el documento . En este sentido es práctico</t>
  </si>
  <si>
    <t xml:space="preserve">En cambio no le puedes pedir un resumen fiable de una determinada parte de la causa ( tiene 24 partes) porque se equivoca mucho y sufre alucinaciones. Evitar en la medida de lo posible las alucinaciones. 
Que cuando le pidas en qué folio de la causa está un determinado documento , te lo indique concretamente o incluso obtenga el documento y te lo pase. </t>
  </si>
  <si>
    <t>Cruce de datos de diferentes fuentes de carácter cualitativo y cuantitativo y se trasvasen a la herramienta de valoración a utilizar (plantilla del ministerio de Igualdad)</t>
  </si>
  <si>
    <t>Ana/Bea</t>
  </si>
  <si>
    <t>TRIBUTARIO</t>
  </si>
  <si>
    <t>Automatizar el proceso de comprobacion de rentas</t>
  </si>
  <si>
    <t>Andrea</t>
  </si>
  <si>
    <t>Comprobacion de minimos legales en la realizacion de las memorias</t>
  </si>
  <si>
    <t>Alberto/Mayte</t>
  </si>
  <si>
    <t xml:space="preserve">Autoamtizacion escaneo y comprobacion contabilidades </t>
  </si>
  <si>
    <t>Leo</t>
  </si>
  <si>
    <t>Revision en la confeccion de nominas</t>
  </si>
  <si>
    <t>Begoña</t>
  </si>
  <si>
    <t>Confeccion nominas</t>
  </si>
  <si>
    <t>Nacho</t>
  </si>
  <si>
    <t>Tiempo Ahorrado</t>
  </si>
  <si>
    <t>Tiempo Estimado</t>
  </si>
  <si>
    <t>Tiempo Empleado</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</si>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</sst>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name val="Calibri"/>
    </font>
    <font>
      <b/>
      <sz val="16"/>
      <name val="Calibri"/>
    </font>
    <font>
      <sz val="12"/>
      <color theme="1"/>
      <name val="Aptos"/>
      <family val="2"/>
    </font>
    <font>
      <b/>
      <sz val="11"/>
      <name val="Calibri"/>
      <family val="2"/>
    </font>
    <font>
      <sz val="11"/>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1" fillId="0" borderId="0" xfId="0" applyFont="1"/>
    <xf numFmtId="0" fontId="2" fillId="0" borderId="0" xfId="0" applyFont="1"/>
    <xf numFmtId="0" fontId="0" fillId="0" borderId="0" xfId="0" applyAlignment="1">
      <alignment wrapText="1"/>
    </xf>
    <xf numFmtId="0" fontId="0" fillId="0" borderId="0" xfId="0" applyAlignment="1">
      <alignment vertical="center"/>
    </xf>
    <xf numFmtId="0" fontId="0" fillId="0" borderId="0" xfId="0" applyAlignment="1">
      <alignment vertical="center" wrapText="1"/>
    </xf>
    <xf numFmtId="14" fontId="0" fillId="0" borderId="0" xfId="0" applyNumberFormat="1" applyAlignment="1">
      <alignment vertical="center"/>
    </xf>
    <xf numFmtId="0" fontId="3" fillId="0" borderId="0" xfId="0" applyFont="1" applyAlignment="1">
      <alignment horizontal="left" vertical="center" indent="1"/>
    </xf>
    <xf numFmtId="0" fontId="4" fillId="0" borderId="0" xfId="0" applyFont="1"/>
    <xf numFmtId="0" fontId="5" fillId="0" borderId="0" xfId="0" applyFont="1" applyAlignment="1">
      <alignment wrapText="1"/>
    </xf>
  </cellXfs>
  <cellStyles count="1">
    <cellStyle name="Normal" xfId="0" builtinId="0"/>
  </cellStyles>
  <dxfs count="3">
    <dxf>
      <fill>
        <patternFill patternType="solid">
          <fgColor rgb="FFFFC7CE"/>
        </patternFill>
      </fill>
    </dxf>
    <dxf>
      <fill>
        <patternFill patternType="solid">
          <fgColor rgb="FFFFEB9C"/>
        </patternFill>
      </fill>
    </dxf>
    <dxf>
      <fill>
        <patternFill patternType="solid">
          <f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rPr lang="es-ES"/>
              <a:t>Distribución de estados</a:t>
            </a:r>
          </a:p>
        </c:rich>
      </c:tx>
      <c:overlay val="1"/>
    </c:title>
    <c:autoTitleDeleted val="0"/>
    <c:plotArea>
      <c:layout/>
      <c:pieChart>
        <c:varyColors val="1"/>
        <c:ser>
          <c:idx val="0"/>
          <c:order val="0"/>
          <c:tx>
            <c:strRef>
              <c:f>Dashboard!$E$2</c:f>
              <c:strCache>
                <c:ptCount val="1"/>
                <c:pt idx="0">
                  <c:v>Cantidad</c:v>
                </c:pt>
              </c:strCache>
            </c:strRef>
          </c:tx>
          <c:spPr>
            <a:ln>
              <a:prstDash val="solid"/>
            </a:ln>
          </c:spPr>
          <c:cat>
            <c:strRef>
              <c:f>Dashboard!$D$3:$D$8</c:f>
              <c:strCache>
                <c:ptCount val="6"/>
                <c:pt idx="0">
                  <c:v>Idea</c:v>
                </c:pt>
                <c:pt idx="1">
                  <c:v>Diseño</c:v>
                </c:pt>
                <c:pt idx="2">
                  <c:v>Desarrollo</c:v>
                </c:pt>
                <c:pt idx="3">
                  <c:v>Pruebas</c:v>
                </c:pt>
                <c:pt idx="4">
                  <c:v>Implantado</c:v>
                </c:pt>
                <c:pt idx="5">
                  <c:v>Descartado</c:v>
                </c:pt>
              </c:strCache>
            </c:strRef>
          </c:cat>
          <c:val>
            <c:numRef>
              <c:f>Dashboard!$E$3:$E$8</c:f>
              <c:numCache>
                <c:formatCode>General</c:formatCode>
                <c:ptCount val="6"/>
                <c:pt idx="0">
                  <c:v>2</c:v>
                </c:pt>
                <c:pt idx="1">
                  <c:v>0</c:v>
                </c:pt>
                <c:pt idx="2">
                  <c:v>0</c:v>
                </c:pt>
                <c:pt idx="3">
                  <c:v>1</c:v>
                </c:pt>
                <c:pt idx="4">
                  <c:v>2</c:v>
                </c:pt>
                <c:pt idx="5">
                  <c:v>0</c:v>
                </c:pt>
              </c:numCache>
            </c:numRef>
          </c:val>
          <c:extLst>
            <c:ext xmlns:c16="http://schemas.microsoft.com/office/drawing/2014/chart" uri="{C3380CC4-5D6E-409C-BE32-E72D297353CC}">
              <c16:uniqueId val="{00000000-CE83-4D48-A3CB-83CDF2821412}"/>
            </c:ext>
          </c:extLst>
        </c:ser>
        <c:dLbls>
          <c:showLegendKey val="0"/>
          <c:showVal val="0"/>
          <c:showCatName val="0"/>
          <c:showSerName val="0"/>
          <c:showPercent val="0"/>
          <c:showBubbleSize val="0"/>
          <c:showLeaderLines val="1"/>
        </c:dLbls>
        <c:firstSliceAng val="0"/>
      </c:pieChart>
    </c:plotArea>
    <c:legend>
      <c:legendPos val="r"/>
      <c:overlay val="1"/>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rPr lang="es-ES"/>
              <a:t>Horas</a:t>
            </a:r>
          </a:p>
        </c:rich>
      </c:tx>
      <c:overlay val="1"/>
    </c:title>
    <c:autoTitleDeleted val="0"/>
    <c:plotArea>
      <c:layout/>
      <c:barChart>
        <c:barDir val="col"/>
        <c:grouping val="clustered"/>
        <c:varyColors val="1"/>
        <c:ser>
          <c:idx val="0"/>
          <c:order val="0"/>
          <c:spPr>
            <a:ln>
              <a:prstDash val="solid"/>
            </a:ln>
          </c:spPr>
          <c:invertIfNegative val="1"/>
          <c:cat>
            <c:strRef>
              <c:f>Dashboard!$A$4:$A$5</c:f>
              <c:strCache>
                <c:ptCount val="2"/>
                <c:pt idx="0">
                  <c:v>Horas Estimadas</c:v>
                </c:pt>
                <c:pt idx="1">
                  <c:v>Horas Realizadas</c:v>
                </c:pt>
              </c:strCache>
            </c:strRef>
          </c:cat>
          <c:val>
            <c:numRef>
              <c:f>Dashboard!$B$4:$B$5</c:f>
              <c:numCache>
                <c:formatCode>General</c:formatCode>
                <c:ptCount val="2"/>
                <c:pt idx="0">
                  <c:v>295</c:v>
                </c:pt>
                <c:pt idx="1">
                  <c:v>75</c:v>
                </c:pt>
              </c:numCache>
            </c:numRef>
          </c:val>
          <c:extLst>
            <c:ext xmlns:c16="http://schemas.microsoft.com/office/drawing/2014/chart" uri="{C3380CC4-5D6E-409C-BE32-E72D297353CC}">
              <c16:uniqueId val="{00000000-A925-4C3E-B130-86171A9DE712}"/>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6</xdr:col>
      <xdr:colOff>0</xdr:colOff>
      <xdr:row>1</xdr:row>
      <xdr:rowOff>0</xdr:rowOff>
    </xdr:from>
    <xdr:ext cx="5400000" cy="2700000"/>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6</xdr:col>
      <xdr:colOff>0</xdr:colOff>
      <xdr:row>17</xdr:row>
      <xdr:rowOff>0</xdr:rowOff>
    </xdr:from>
    <xdr:ext cx="5400000" cy="2700000"/>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02"/>
  <sheetViews>
    <sheetView tabSelected="1" topLeftCell="K3" zoomScale="55" zoomScaleNormal="55" workbookViewId="0">
      <selection activeCell="S5" sqref="A1:T11"/>
    </sheetView>
  </sheetViews>
  <sheetFormatPr baseColWidth="10" defaultColWidth="8.81640625" defaultRowHeight="14.5" x14ac:dyDescent="0.35"/>
  <cols>
    <col min="1" max="2" width="22" customWidth="1"/>
    <col min="3" max="3" width="34" customWidth="1"/>
    <col min="4" max="4" width="30.6328125" customWidth="1"/>
    <col min="5" max="6" width="22" customWidth="1"/>
    <col min="7" max="7" width="21.7265625" customWidth="1"/>
    <col min="8" max="8" width="12.36328125" bestFit="1" customWidth="1"/>
    <col min="9" max="12" width="22" customWidth="1"/>
    <col min="13" max="13" width="23.6328125" customWidth="1"/>
    <col min="14" max="18" width="22" customWidth="1"/>
    <col min="19" max="19" width="35.36328125" customWidth="1"/>
    <col min="20" max="20" width="47.7265625" customWidth="1"/>
  </cols>
  <sheetData>
    <row r="1" spans="1:20"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8" t="s">
        <v>56</v>
      </c>
      <c r="P1" s="8" t="s">
        <v>57</v>
      </c>
      <c r="Q1" s="8" t="s">
        <v>55</v>
      </c>
      <c r="R1" s="1" t="s">
        <v>14</v>
      </c>
      <c r="S1" s="8" t="s">
        <v>31</v>
      </c>
      <c r="T1" s="8" t="s">
        <v>32</v>
      </c>
    </row>
    <row r="2" spans="1:20" ht="101.5" x14ac:dyDescent="0.35">
      <c r="A2" s="5"/>
      <c r="B2" s="5" t="s">
        <v>26</v>
      </c>
      <c r="C2" s="5" t="s">
        <v>27</v>
      </c>
      <c r="D2" s="4" t="s">
        <v>28</v>
      </c>
      <c r="E2" s="6">
        <v>46154</v>
      </c>
      <c r="F2" s="6">
        <v>46164</v>
      </c>
      <c r="G2" s="4">
        <v>5</v>
      </c>
      <c r="H2" s="4">
        <v>5</v>
      </c>
      <c r="I2" s="4">
        <v>2</v>
      </c>
      <c r="J2" s="4">
        <v>25</v>
      </c>
      <c r="K2" s="4">
        <v>25</v>
      </c>
      <c r="L2" s="4">
        <v>100</v>
      </c>
      <c r="M2" s="4">
        <f t="shared" ref="M2:M34" si="0">K2-J2</f>
        <v>0</v>
      </c>
      <c r="N2" t="s">
        <v>20</v>
      </c>
      <c r="O2" s="4">
        <v>160</v>
      </c>
      <c r="P2" s="4">
        <v>48</v>
      </c>
      <c r="Q2" s="9" t="str">
        <f>IMSUB(O2,P2)</f>
        <v>112</v>
      </c>
      <c r="R2" s="5" t="s">
        <v>29</v>
      </c>
      <c r="S2" s="5" t="s">
        <v>30</v>
      </c>
      <c r="T2" s="5" t="s">
        <v>33</v>
      </c>
    </row>
    <row r="3" spans="1:20" ht="130.5" x14ac:dyDescent="0.35">
      <c r="A3" s="5"/>
      <c r="B3" s="5" t="s">
        <v>36</v>
      </c>
      <c r="C3" s="5" t="s">
        <v>37</v>
      </c>
      <c r="D3" s="4" t="s">
        <v>38</v>
      </c>
      <c r="E3" s="6">
        <v>46161</v>
      </c>
      <c r="F3" s="6">
        <v>46171</v>
      </c>
      <c r="G3" s="4"/>
      <c r="H3" s="4"/>
      <c r="I3" s="4">
        <v>2</v>
      </c>
      <c r="J3" s="4">
        <v>30</v>
      </c>
      <c r="K3" s="4">
        <v>30</v>
      </c>
      <c r="L3" s="4">
        <v>100</v>
      </c>
      <c r="M3" s="4"/>
      <c r="N3" t="s">
        <v>20</v>
      </c>
      <c r="O3" s="4">
        <v>120</v>
      </c>
      <c r="P3" s="4">
        <v>16</v>
      </c>
      <c r="Q3" s="9" t="str">
        <f t="shared" ref="Q3:Q11" si="1">IMSUB(O3,P3)</f>
        <v>104</v>
      </c>
      <c r="R3" s="5" t="s">
        <v>39</v>
      </c>
      <c r="S3" s="5" t="s">
        <v>40</v>
      </c>
      <c r="T3" s="5" t="s">
        <v>41</v>
      </c>
    </row>
    <row r="4" spans="1:20" ht="58" x14ac:dyDescent="0.35">
      <c r="A4" s="3"/>
      <c r="B4" s="3" t="s">
        <v>26</v>
      </c>
      <c r="C4" s="3" t="s">
        <v>34</v>
      </c>
      <c r="D4" t="s">
        <v>28</v>
      </c>
      <c r="I4">
        <v>2</v>
      </c>
      <c r="J4">
        <v>30</v>
      </c>
      <c r="M4">
        <f t="shared" si="0"/>
        <v>-30</v>
      </c>
      <c r="O4">
        <v>160</v>
      </c>
      <c r="Q4" s="9" t="str">
        <f t="shared" si="1"/>
        <v>160</v>
      </c>
      <c r="T4" s="7"/>
    </row>
    <row r="5" spans="1:20" ht="72.5" x14ac:dyDescent="0.35">
      <c r="A5" s="3"/>
      <c r="B5" s="3" t="s">
        <v>26</v>
      </c>
      <c r="C5" s="3" t="s">
        <v>35</v>
      </c>
      <c r="D5" t="s">
        <v>28</v>
      </c>
      <c r="I5">
        <v>3</v>
      </c>
      <c r="J5">
        <v>30</v>
      </c>
      <c r="M5">
        <f t="shared" si="0"/>
        <v>-30</v>
      </c>
      <c r="O5">
        <v>300</v>
      </c>
      <c r="Q5" s="9" t="str">
        <f t="shared" si="1"/>
        <v>300</v>
      </c>
      <c r="R5" t="s">
        <v>58</v>
      </c>
      <c r="T5" s="7"/>
    </row>
    <row r="6" spans="1:20" ht="72.5" x14ac:dyDescent="0.35">
      <c r="B6" t="s">
        <v>36</v>
      </c>
      <c r="C6" s="3" t="s">
        <v>42</v>
      </c>
      <c r="D6" t="s">
        <v>43</v>
      </c>
      <c r="I6">
        <v>2</v>
      </c>
      <c r="J6">
        <v>20</v>
      </c>
      <c r="M6">
        <f t="shared" si="0"/>
        <v>-20</v>
      </c>
      <c r="O6">
        <v>445</v>
      </c>
      <c r="Q6" s="9" t="str">
        <f t="shared" si="1"/>
        <v>445</v>
      </c>
      <c r="T6" s="7"/>
    </row>
    <row r="7" spans="1:20" ht="29" x14ac:dyDescent="0.35">
      <c r="B7" t="s">
        <v>44</v>
      </c>
      <c r="C7" s="3" t="s">
        <v>45</v>
      </c>
      <c r="D7" t="s">
        <v>46</v>
      </c>
      <c r="I7">
        <v>3</v>
      </c>
      <c r="J7">
        <v>30</v>
      </c>
      <c r="M7">
        <f t="shared" si="0"/>
        <v>-30</v>
      </c>
      <c r="Q7" s="9" t="str">
        <f t="shared" si="1"/>
        <v>0</v>
      </c>
    </row>
    <row r="8" spans="1:20" ht="29" x14ac:dyDescent="0.35">
      <c r="C8" s="3" t="s">
        <v>47</v>
      </c>
      <c r="D8" t="s">
        <v>48</v>
      </c>
      <c r="I8">
        <v>3</v>
      </c>
      <c r="J8">
        <v>40</v>
      </c>
      <c r="M8">
        <f t="shared" si="0"/>
        <v>-40</v>
      </c>
      <c r="N8" t="s">
        <v>16</v>
      </c>
      <c r="Q8" s="9" t="str">
        <f t="shared" si="1"/>
        <v>0</v>
      </c>
    </row>
    <row r="9" spans="1:20" ht="29" x14ac:dyDescent="0.35">
      <c r="C9" s="3" t="s">
        <v>49</v>
      </c>
      <c r="D9" t="s">
        <v>50</v>
      </c>
      <c r="I9">
        <v>4</v>
      </c>
      <c r="J9">
        <v>40</v>
      </c>
      <c r="M9">
        <f t="shared" si="0"/>
        <v>-40</v>
      </c>
      <c r="Q9" s="9" t="str">
        <f t="shared" si="1"/>
        <v>0</v>
      </c>
    </row>
    <row r="10" spans="1:20" x14ac:dyDescent="0.35">
      <c r="C10" s="3" t="s">
        <v>51</v>
      </c>
      <c r="D10" t="s">
        <v>52</v>
      </c>
      <c r="I10">
        <v>3</v>
      </c>
      <c r="J10">
        <v>30</v>
      </c>
      <c r="M10">
        <f t="shared" si="0"/>
        <v>-30</v>
      </c>
      <c r="N10" t="s">
        <v>16</v>
      </c>
      <c r="Q10" s="9" t="str">
        <f t="shared" si="1"/>
        <v>0</v>
      </c>
    </row>
    <row r="11" spans="1:20" x14ac:dyDescent="0.35">
      <c r="C11" s="3" t="s">
        <v>53</v>
      </c>
      <c r="D11" t="s">
        <v>54</v>
      </c>
      <c r="I11">
        <v>2</v>
      </c>
      <c r="J11">
        <v>20</v>
      </c>
      <c r="K11">
        <v>20</v>
      </c>
      <c r="M11">
        <f t="shared" si="0"/>
        <v>0</v>
      </c>
      <c r="N11" t="s">
        <v>19</v>
      </c>
      <c r="Q11" s="9" t="str">
        <f t="shared" si="1"/>
        <v>0</v>
      </c>
    </row>
    <row r="27" spans="13:13" x14ac:dyDescent="0.35">
      <c r="M27">
        <f t="shared" si="0"/>
        <v>0</v>
      </c>
    </row>
    <row r="28" spans="13:13" x14ac:dyDescent="0.35">
      <c r="M28">
        <f t="shared" si="0"/>
        <v>0</v>
      </c>
    </row>
    <row r="29" spans="13:13" x14ac:dyDescent="0.35">
      <c r="M29">
        <f t="shared" si="0"/>
        <v>0</v>
      </c>
    </row>
    <row r="30" spans="13:13" x14ac:dyDescent="0.35">
      <c r="M30">
        <f t="shared" si="0"/>
        <v>0</v>
      </c>
    </row>
    <row r="31" spans="13:13" x14ac:dyDescent="0.35">
      <c r="M31">
        <f t="shared" si="0"/>
        <v>0</v>
      </c>
    </row>
    <row r="32" spans="13:13" x14ac:dyDescent="0.35">
      <c r="M32">
        <f t="shared" si="0"/>
        <v>0</v>
      </c>
    </row>
    <row r="33" spans="13:13" x14ac:dyDescent="0.35">
      <c r="M33">
        <f t="shared" si="0"/>
        <v>0</v>
      </c>
    </row>
    <row r="34" spans="13:13" x14ac:dyDescent="0.35">
      <c r="M34">
        <f t="shared" si="0"/>
        <v>0</v>
      </c>
    </row>
    <row r="35" spans="13:13" x14ac:dyDescent="0.35">
      <c r="M35">
        <f t="shared" ref="M35:M66" si="2">K35-J35</f>
        <v>0</v>
      </c>
    </row>
    <row r="36" spans="13:13" x14ac:dyDescent="0.35">
      <c r="M36">
        <f t="shared" si="2"/>
        <v>0</v>
      </c>
    </row>
    <row r="37" spans="13:13" x14ac:dyDescent="0.35">
      <c r="M37">
        <f t="shared" si="2"/>
        <v>0</v>
      </c>
    </row>
    <row r="38" spans="13:13" x14ac:dyDescent="0.35">
      <c r="M38">
        <f t="shared" si="2"/>
        <v>0</v>
      </c>
    </row>
    <row r="39" spans="13:13" x14ac:dyDescent="0.35">
      <c r="M39">
        <f t="shared" si="2"/>
        <v>0</v>
      </c>
    </row>
    <row r="40" spans="13:13" x14ac:dyDescent="0.35">
      <c r="M40">
        <f t="shared" si="2"/>
        <v>0</v>
      </c>
    </row>
    <row r="41" spans="13:13" x14ac:dyDescent="0.35">
      <c r="M41">
        <f t="shared" si="2"/>
        <v>0</v>
      </c>
    </row>
    <row r="42" spans="13:13" x14ac:dyDescent="0.35">
      <c r="M42">
        <f t="shared" si="2"/>
        <v>0</v>
      </c>
    </row>
    <row r="43" spans="13:13" x14ac:dyDescent="0.35">
      <c r="M43">
        <f t="shared" si="2"/>
        <v>0</v>
      </c>
    </row>
    <row r="44" spans="13:13" x14ac:dyDescent="0.35">
      <c r="M44">
        <f t="shared" si="2"/>
        <v>0</v>
      </c>
    </row>
    <row r="45" spans="13:13" x14ac:dyDescent="0.35">
      <c r="M45">
        <f t="shared" si="2"/>
        <v>0</v>
      </c>
    </row>
    <row r="46" spans="13:13" x14ac:dyDescent="0.35">
      <c r="M46">
        <f t="shared" si="2"/>
        <v>0</v>
      </c>
    </row>
    <row r="47" spans="13:13" x14ac:dyDescent="0.35">
      <c r="M47">
        <f t="shared" si="2"/>
        <v>0</v>
      </c>
    </row>
    <row r="48" spans="13:13" x14ac:dyDescent="0.35">
      <c r="M48">
        <f t="shared" si="2"/>
        <v>0</v>
      </c>
    </row>
    <row r="49" spans="13:13" x14ac:dyDescent="0.35">
      <c r="M49">
        <f t="shared" si="2"/>
        <v>0</v>
      </c>
    </row>
    <row r="50" spans="13:13" x14ac:dyDescent="0.35">
      <c r="M50">
        <f t="shared" si="2"/>
        <v>0</v>
      </c>
    </row>
    <row r="51" spans="13:13" x14ac:dyDescent="0.35">
      <c r="M51">
        <f t="shared" si="2"/>
        <v>0</v>
      </c>
    </row>
    <row r="52" spans="13:13" x14ac:dyDescent="0.35">
      <c r="M52">
        <f t="shared" si="2"/>
        <v>0</v>
      </c>
    </row>
    <row r="53" spans="13:13" x14ac:dyDescent="0.35">
      <c r="M53">
        <f t="shared" si="2"/>
        <v>0</v>
      </c>
    </row>
    <row r="54" spans="13:13" x14ac:dyDescent="0.35">
      <c r="M54">
        <f t="shared" si="2"/>
        <v>0</v>
      </c>
    </row>
    <row r="55" spans="13:13" x14ac:dyDescent="0.35">
      <c r="M55">
        <f t="shared" si="2"/>
        <v>0</v>
      </c>
    </row>
    <row r="56" spans="13:13" x14ac:dyDescent="0.35">
      <c r="M56">
        <f t="shared" si="2"/>
        <v>0</v>
      </c>
    </row>
    <row r="57" spans="13:13" x14ac:dyDescent="0.35">
      <c r="M57">
        <f t="shared" si="2"/>
        <v>0</v>
      </c>
    </row>
    <row r="58" spans="13:13" x14ac:dyDescent="0.35">
      <c r="M58">
        <f t="shared" si="2"/>
        <v>0</v>
      </c>
    </row>
    <row r="59" spans="13:13" x14ac:dyDescent="0.35">
      <c r="M59">
        <f t="shared" si="2"/>
        <v>0</v>
      </c>
    </row>
    <row r="60" spans="13:13" x14ac:dyDescent="0.35">
      <c r="M60">
        <f t="shared" si="2"/>
        <v>0</v>
      </c>
    </row>
    <row r="61" spans="13:13" x14ac:dyDescent="0.35">
      <c r="M61">
        <f t="shared" si="2"/>
        <v>0</v>
      </c>
    </row>
    <row r="62" spans="13:13" x14ac:dyDescent="0.35">
      <c r="M62">
        <f t="shared" si="2"/>
        <v>0</v>
      </c>
    </row>
    <row r="63" spans="13:13" x14ac:dyDescent="0.35">
      <c r="M63">
        <f t="shared" si="2"/>
        <v>0</v>
      </c>
    </row>
    <row r="64" spans="13:13" x14ac:dyDescent="0.35">
      <c r="M64">
        <f t="shared" si="2"/>
        <v>0</v>
      </c>
    </row>
    <row r="65" spans="13:13" x14ac:dyDescent="0.35">
      <c r="M65">
        <f t="shared" si="2"/>
        <v>0</v>
      </c>
    </row>
    <row r="66" spans="13:13" x14ac:dyDescent="0.35">
      <c r="M66">
        <f t="shared" si="2"/>
        <v>0</v>
      </c>
    </row>
    <row r="67" spans="13:13" x14ac:dyDescent="0.35">
      <c r="M67">
        <f t="shared" ref="M67:M98" si="3">K67-J67</f>
        <v>0</v>
      </c>
    </row>
    <row r="68" spans="13:13" x14ac:dyDescent="0.35">
      <c r="M68">
        <f t="shared" si="3"/>
        <v>0</v>
      </c>
    </row>
    <row r="69" spans="13:13" x14ac:dyDescent="0.35">
      <c r="M69">
        <f t="shared" si="3"/>
        <v>0</v>
      </c>
    </row>
    <row r="70" spans="13:13" x14ac:dyDescent="0.35">
      <c r="M70">
        <f t="shared" si="3"/>
        <v>0</v>
      </c>
    </row>
    <row r="71" spans="13:13" x14ac:dyDescent="0.35">
      <c r="M71">
        <f t="shared" si="3"/>
        <v>0</v>
      </c>
    </row>
    <row r="72" spans="13:13" x14ac:dyDescent="0.35">
      <c r="M72">
        <f t="shared" si="3"/>
        <v>0</v>
      </c>
    </row>
    <row r="73" spans="13:13" x14ac:dyDescent="0.35">
      <c r="M73">
        <f t="shared" si="3"/>
        <v>0</v>
      </c>
    </row>
    <row r="74" spans="13:13" x14ac:dyDescent="0.35">
      <c r="M74">
        <f t="shared" si="3"/>
        <v>0</v>
      </c>
    </row>
    <row r="75" spans="13:13" x14ac:dyDescent="0.35">
      <c r="M75">
        <f t="shared" si="3"/>
        <v>0</v>
      </c>
    </row>
    <row r="76" spans="13:13" x14ac:dyDescent="0.35">
      <c r="M76">
        <f t="shared" si="3"/>
        <v>0</v>
      </c>
    </row>
    <row r="77" spans="13:13" x14ac:dyDescent="0.35">
      <c r="M77">
        <f t="shared" si="3"/>
        <v>0</v>
      </c>
    </row>
    <row r="78" spans="13:13" x14ac:dyDescent="0.35">
      <c r="M78">
        <f t="shared" si="3"/>
        <v>0</v>
      </c>
    </row>
    <row r="79" spans="13:13" x14ac:dyDescent="0.35">
      <c r="M79">
        <f t="shared" si="3"/>
        <v>0</v>
      </c>
    </row>
    <row r="80" spans="13:13" x14ac:dyDescent="0.35">
      <c r="M80">
        <f t="shared" si="3"/>
        <v>0</v>
      </c>
    </row>
    <row r="81" spans="13:13" x14ac:dyDescent="0.35">
      <c r="M81">
        <f t="shared" si="3"/>
        <v>0</v>
      </c>
    </row>
    <row r="82" spans="13:13" x14ac:dyDescent="0.35">
      <c r="M82">
        <f t="shared" si="3"/>
        <v>0</v>
      </c>
    </row>
    <row r="83" spans="13:13" x14ac:dyDescent="0.35">
      <c r="M83">
        <f t="shared" si="3"/>
        <v>0</v>
      </c>
    </row>
    <row r="84" spans="13:13" x14ac:dyDescent="0.35">
      <c r="M84">
        <f t="shared" si="3"/>
        <v>0</v>
      </c>
    </row>
    <row r="85" spans="13:13" x14ac:dyDescent="0.35">
      <c r="M85">
        <f t="shared" si="3"/>
        <v>0</v>
      </c>
    </row>
    <row r="86" spans="13:13" x14ac:dyDescent="0.35">
      <c r="M86">
        <f t="shared" si="3"/>
        <v>0</v>
      </c>
    </row>
    <row r="87" spans="13:13" x14ac:dyDescent="0.35">
      <c r="M87">
        <f t="shared" si="3"/>
        <v>0</v>
      </c>
    </row>
    <row r="88" spans="13:13" x14ac:dyDescent="0.35">
      <c r="M88">
        <f t="shared" si="3"/>
        <v>0</v>
      </c>
    </row>
    <row r="89" spans="13:13" x14ac:dyDescent="0.35">
      <c r="M89">
        <f t="shared" si="3"/>
        <v>0</v>
      </c>
    </row>
    <row r="90" spans="13:13" x14ac:dyDescent="0.35">
      <c r="M90">
        <f t="shared" si="3"/>
        <v>0</v>
      </c>
    </row>
    <row r="91" spans="13:13" x14ac:dyDescent="0.35">
      <c r="M91">
        <f t="shared" si="3"/>
        <v>0</v>
      </c>
    </row>
    <row r="92" spans="13:13" x14ac:dyDescent="0.35">
      <c r="M92">
        <f t="shared" si="3"/>
        <v>0</v>
      </c>
    </row>
    <row r="93" spans="13:13" x14ac:dyDescent="0.35">
      <c r="M93">
        <f t="shared" si="3"/>
        <v>0</v>
      </c>
    </row>
    <row r="94" spans="13:13" x14ac:dyDescent="0.35">
      <c r="M94">
        <f t="shared" si="3"/>
        <v>0</v>
      </c>
    </row>
    <row r="95" spans="13:13" x14ac:dyDescent="0.35">
      <c r="M95">
        <f t="shared" si="3"/>
        <v>0</v>
      </c>
    </row>
    <row r="96" spans="13:13" x14ac:dyDescent="0.35">
      <c r="M96">
        <f t="shared" si="3"/>
        <v>0</v>
      </c>
    </row>
    <row r="97" spans="13:13" x14ac:dyDescent="0.35">
      <c r="M97">
        <f t="shared" si="3"/>
        <v>0</v>
      </c>
    </row>
    <row r="98" spans="13:13" x14ac:dyDescent="0.35">
      <c r="M98">
        <f t="shared" si="3"/>
        <v>0</v>
      </c>
    </row>
    <row r="99" spans="13:13" x14ac:dyDescent="0.35">
      <c r="M99">
        <f t="shared" ref="M99:M130" si="4">K99-J99</f>
        <v>0</v>
      </c>
    </row>
    <row r="100" spans="13:13" x14ac:dyDescent="0.35">
      <c r="M100">
        <f t="shared" si="4"/>
        <v>0</v>
      </c>
    </row>
    <row r="101" spans="13:13" x14ac:dyDescent="0.35">
      <c r="M101">
        <f t="shared" si="4"/>
        <v>0</v>
      </c>
    </row>
    <row r="102" spans="13:13" x14ac:dyDescent="0.35">
      <c r="M102">
        <f t="shared" si="4"/>
        <v>0</v>
      </c>
    </row>
    <row r="103" spans="13:13" x14ac:dyDescent="0.35">
      <c r="M103">
        <f t="shared" si="4"/>
        <v>0</v>
      </c>
    </row>
    <row r="104" spans="13:13" x14ac:dyDescent="0.35">
      <c r="M104">
        <f t="shared" si="4"/>
        <v>0</v>
      </c>
    </row>
    <row r="105" spans="13:13" x14ac:dyDescent="0.35">
      <c r="M105">
        <f t="shared" si="4"/>
        <v>0</v>
      </c>
    </row>
    <row r="106" spans="13:13" x14ac:dyDescent="0.35">
      <c r="M106">
        <f t="shared" si="4"/>
        <v>0</v>
      </c>
    </row>
    <row r="107" spans="13:13" x14ac:dyDescent="0.35">
      <c r="M107">
        <f t="shared" si="4"/>
        <v>0</v>
      </c>
    </row>
    <row r="108" spans="13:13" x14ac:dyDescent="0.35">
      <c r="M108">
        <f t="shared" si="4"/>
        <v>0</v>
      </c>
    </row>
    <row r="109" spans="13:13" x14ac:dyDescent="0.35">
      <c r="M109">
        <f t="shared" si="4"/>
        <v>0</v>
      </c>
    </row>
    <row r="110" spans="13:13" x14ac:dyDescent="0.35">
      <c r="M110">
        <f t="shared" si="4"/>
        <v>0</v>
      </c>
    </row>
    <row r="111" spans="13:13" x14ac:dyDescent="0.35">
      <c r="M111">
        <f t="shared" si="4"/>
        <v>0</v>
      </c>
    </row>
    <row r="112" spans="13:13" x14ac:dyDescent="0.35">
      <c r="M112">
        <f t="shared" si="4"/>
        <v>0</v>
      </c>
    </row>
    <row r="113" spans="13:13" x14ac:dyDescent="0.35">
      <c r="M113">
        <f t="shared" si="4"/>
        <v>0</v>
      </c>
    </row>
    <row r="114" spans="13:13" x14ac:dyDescent="0.35">
      <c r="M114">
        <f t="shared" si="4"/>
        <v>0</v>
      </c>
    </row>
    <row r="115" spans="13:13" x14ac:dyDescent="0.35">
      <c r="M115">
        <f t="shared" si="4"/>
        <v>0</v>
      </c>
    </row>
    <row r="116" spans="13:13" x14ac:dyDescent="0.35">
      <c r="M116">
        <f t="shared" si="4"/>
        <v>0</v>
      </c>
    </row>
    <row r="117" spans="13:13" x14ac:dyDescent="0.35">
      <c r="M117">
        <f t="shared" si="4"/>
        <v>0</v>
      </c>
    </row>
    <row r="118" spans="13:13" x14ac:dyDescent="0.35">
      <c r="M118">
        <f t="shared" si="4"/>
        <v>0</v>
      </c>
    </row>
    <row r="119" spans="13:13" x14ac:dyDescent="0.35">
      <c r="M119">
        <f t="shared" si="4"/>
        <v>0</v>
      </c>
    </row>
    <row r="120" spans="13:13" x14ac:dyDescent="0.35">
      <c r="M120">
        <f t="shared" si="4"/>
        <v>0</v>
      </c>
    </row>
    <row r="121" spans="13:13" x14ac:dyDescent="0.35">
      <c r="M121">
        <f t="shared" si="4"/>
        <v>0</v>
      </c>
    </row>
    <row r="122" spans="13:13" x14ac:dyDescent="0.35">
      <c r="M122">
        <f t="shared" si="4"/>
        <v>0</v>
      </c>
    </row>
    <row r="123" spans="13:13" x14ac:dyDescent="0.35">
      <c r="M123">
        <f t="shared" si="4"/>
        <v>0</v>
      </c>
    </row>
    <row r="124" spans="13:13" x14ac:dyDescent="0.35">
      <c r="M124">
        <f t="shared" si="4"/>
        <v>0</v>
      </c>
    </row>
    <row r="125" spans="13:13" x14ac:dyDescent="0.35">
      <c r="M125">
        <f t="shared" si="4"/>
        <v>0</v>
      </c>
    </row>
    <row r="126" spans="13:13" x14ac:dyDescent="0.35">
      <c r="M126">
        <f t="shared" si="4"/>
        <v>0</v>
      </c>
    </row>
    <row r="127" spans="13:13" x14ac:dyDescent="0.35">
      <c r="M127">
        <f t="shared" si="4"/>
        <v>0</v>
      </c>
    </row>
    <row r="128" spans="13:13" x14ac:dyDescent="0.35">
      <c r="M128">
        <f t="shared" si="4"/>
        <v>0</v>
      </c>
    </row>
    <row r="129" spans="13:13" x14ac:dyDescent="0.35">
      <c r="M129">
        <f t="shared" si="4"/>
        <v>0</v>
      </c>
    </row>
    <row r="130" spans="13:13" x14ac:dyDescent="0.35">
      <c r="M130">
        <f t="shared" si="4"/>
        <v>0</v>
      </c>
    </row>
    <row r="131" spans="13:13" x14ac:dyDescent="0.35">
      <c r="M131">
        <f t="shared" ref="M131:M162" si="5">K131-J131</f>
        <v>0</v>
      </c>
    </row>
    <row r="132" spans="13:13" x14ac:dyDescent="0.35">
      <c r="M132">
        <f t="shared" si="5"/>
        <v>0</v>
      </c>
    </row>
    <row r="133" spans="13:13" x14ac:dyDescent="0.35">
      <c r="M133">
        <f t="shared" si="5"/>
        <v>0</v>
      </c>
    </row>
    <row r="134" spans="13:13" x14ac:dyDescent="0.35">
      <c r="M134">
        <f t="shared" si="5"/>
        <v>0</v>
      </c>
    </row>
    <row r="135" spans="13:13" x14ac:dyDescent="0.35">
      <c r="M135">
        <f t="shared" si="5"/>
        <v>0</v>
      </c>
    </row>
    <row r="136" spans="13:13" x14ac:dyDescent="0.35">
      <c r="M136">
        <f t="shared" si="5"/>
        <v>0</v>
      </c>
    </row>
    <row r="137" spans="13:13" x14ac:dyDescent="0.35">
      <c r="M137">
        <f t="shared" si="5"/>
        <v>0</v>
      </c>
    </row>
    <row r="138" spans="13:13" x14ac:dyDescent="0.35">
      <c r="M138">
        <f t="shared" si="5"/>
        <v>0</v>
      </c>
    </row>
    <row r="139" spans="13:13" x14ac:dyDescent="0.35">
      <c r="M139">
        <f t="shared" si="5"/>
        <v>0</v>
      </c>
    </row>
    <row r="140" spans="13:13" x14ac:dyDescent="0.35">
      <c r="M140">
        <f t="shared" si="5"/>
        <v>0</v>
      </c>
    </row>
    <row r="141" spans="13:13" x14ac:dyDescent="0.35">
      <c r="M141">
        <f t="shared" si="5"/>
        <v>0</v>
      </c>
    </row>
    <row r="142" spans="13:13" x14ac:dyDescent="0.35">
      <c r="M142">
        <f t="shared" si="5"/>
        <v>0</v>
      </c>
    </row>
    <row r="143" spans="13:13" x14ac:dyDescent="0.35">
      <c r="M143">
        <f t="shared" si="5"/>
        <v>0</v>
      </c>
    </row>
    <row r="144" spans="13:13" x14ac:dyDescent="0.35">
      <c r="M144">
        <f t="shared" si="5"/>
        <v>0</v>
      </c>
    </row>
    <row r="145" spans="13:13" x14ac:dyDescent="0.35">
      <c r="M145">
        <f t="shared" si="5"/>
        <v>0</v>
      </c>
    </row>
    <row r="146" spans="13:13" x14ac:dyDescent="0.35">
      <c r="M146">
        <f t="shared" si="5"/>
        <v>0</v>
      </c>
    </row>
    <row r="147" spans="13:13" x14ac:dyDescent="0.35">
      <c r="M147">
        <f t="shared" si="5"/>
        <v>0</v>
      </c>
    </row>
    <row r="148" spans="13:13" x14ac:dyDescent="0.35">
      <c r="M148">
        <f t="shared" si="5"/>
        <v>0</v>
      </c>
    </row>
    <row r="149" spans="13:13" x14ac:dyDescent="0.35">
      <c r="M149">
        <f t="shared" si="5"/>
        <v>0</v>
      </c>
    </row>
    <row r="150" spans="13:13" x14ac:dyDescent="0.35">
      <c r="M150">
        <f t="shared" si="5"/>
        <v>0</v>
      </c>
    </row>
    <row r="151" spans="13:13" x14ac:dyDescent="0.35">
      <c r="M151">
        <f t="shared" si="5"/>
        <v>0</v>
      </c>
    </row>
    <row r="152" spans="13:13" x14ac:dyDescent="0.35">
      <c r="M152">
        <f t="shared" si="5"/>
        <v>0</v>
      </c>
    </row>
    <row r="153" spans="13:13" x14ac:dyDescent="0.35">
      <c r="M153">
        <f t="shared" si="5"/>
        <v>0</v>
      </c>
    </row>
    <row r="154" spans="13:13" x14ac:dyDescent="0.35">
      <c r="M154">
        <f t="shared" si="5"/>
        <v>0</v>
      </c>
    </row>
    <row r="155" spans="13:13" x14ac:dyDescent="0.35">
      <c r="M155">
        <f t="shared" si="5"/>
        <v>0</v>
      </c>
    </row>
    <row r="156" spans="13:13" x14ac:dyDescent="0.35">
      <c r="M156">
        <f t="shared" si="5"/>
        <v>0</v>
      </c>
    </row>
    <row r="157" spans="13:13" x14ac:dyDescent="0.35">
      <c r="M157">
        <f t="shared" si="5"/>
        <v>0</v>
      </c>
    </row>
    <row r="158" spans="13:13" x14ac:dyDescent="0.35">
      <c r="M158">
        <f t="shared" si="5"/>
        <v>0</v>
      </c>
    </row>
    <row r="159" spans="13:13" x14ac:dyDescent="0.35">
      <c r="M159">
        <f t="shared" si="5"/>
        <v>0</v>
      </c>
    </row>
    <row r="160" spans="13:13" x14ac:dyDescent="0.35">
      <c r="M160">
        <f t="shared" si="5"/>
        <v>0</v>
      </c>
    </row>
    <row r="161" spans="13:13" x14ac:dyDescent="0.35">
      <c r="M161">
        <f t="shared" si="5"/>
        <v>0</v>
      </c>
    </row>
    <row r="162" spans="13:13" x14ac:dyDescent="0.35">
      <c r="M162">
        <f t="shared" si="5"/>
        <v>0</v>
      </c>
    </row>
    <row r="163" spans="13:13" x14ac:dyDescent="0.35">
      <c r="M163">
        <f t="shared" ref="M163:M194" si="6">K163-J163</f>
        <v>0</v>
      </c>
    </row>
    <row r="164" spans="13:13" x14ac:dyDescent="0.35">
      <c r="M164">
        <f t="shared" si="6"/>
        <v>0</v>
      </c>
    </row>
    <row r="165" spans="13:13" x14ac:dyDescent="0.35">
      <c r="M165">
        <f t="shared" si="6"/>
        <v>0</v>
      </c>
    </row>
    <row r="166" spans="13:13" x14ac:dyDescent="0.35">
      <c r="M166">
        <f t="shared" si="6"/>
        <v>0</v>
      </c>
    </row>
    <row r="167" spans="13:13" x14ac:dyDescent="0.35">
      <c r="M167">
        <f t="shared" si="6"/>
        <v>0</v>
      </c>
    </row>
    <row r="168" spans="13:13" x14ac:dyDescent="0.35">
      <c r="M168">
        <f t="shared" si="6"/>
        <v>0</v>
      </c>
    </row>
    <row r="169" spans="13:13" x14ac:dyDescent="0.35">
      <c r="M169">
        <f t="shared" si="6"/>
        <v>0</v>
      </c>
    </row>
    <row r="170" spans="13:13" x14ac:dyDescent="0.35">
      <c r="M170">
        <f t="shared" si="6"/>
        <v>0</v>
      </c>
    </row>
    <row r="171" spans="13:13" x14ac:dyDescent="0.35">
      <c r="M171">
        <f t="shared" si="6"/>
        <v>0</v>
      </c>
    </row>
    <row r="172" spans="13:13" x14ac:dyDescent="0.35">
      <c r="M172">
        <f t="shared" si="6"/>
        <v>0</v>
      </c>
    </row>
    <row r="173" spans="13:13" x14ac:dyDescent="0.35">
      <c r="M173">
        <f t="shared" si="6"/>
        <v>0</v>
      </c>
    </row>
    <row r="174" spans="13:13" x14ac:dyDescent="0.35">
      <c r="M174">
        <f t="shared" si="6"/>
        <v>0</v>
      </c>
    </row>
    <row r="175" spans="13:13" x14ac:dyDescent="0.35">
      <c r="M175">
        <f t="shared" si="6"/>
        <v>0</v>
      </c>
    </row>
    <row r="176" spans="13:13" x14ac:dyDescent="0.35">
      <c r="M176">
        <f t="shared" si="6"/>
        <v>0</v>
      </c>
    </row>
    <row r="177" spans="13:13" x14ac:dyDescent="0.35">
      <c r="M177">
        <f t="shared" si="6"/>
        <v>0</v>
      </c>
    </row>
    <row r="178" spans="13:13" x14ac:dyDescent="0.35">
      <c r="M178">
        <f t="shared" si="6"/>
        <v>0</v>
      </c>
    </row>
    <row r="179" spans="13:13" x14ac:dyDescent="0.35">
      <c r="M179">
        <f t="shared" si="6"/>
        <v>0</v>
      </c>
    </row>
    <row r="180" spans="13:13" x14ac:dyDescent="0.35">
      <c r="M180">
        <f t="shared" si="6"/>
        <v>0</v>
      </c>
    </row>
    <row r="181" spans="13:13" x14ac:dyDescent="0.35">
      <c r="M181">
        <f t="shared" si="6"/>
        <v>0</v>
      </c>
    </row>
    <row r="182" spans="13:13" x14ac:dyDescent="0.35">
      <c r="M182">
        <f t="shared" si="6"/>
        <v>0</v>
      </c>
    </row>
    <row r="183" spans="13:13" x14ac:dyDescent="0.35">
      <c r="M183">
        <f t="shared" si="6"/>
        <v>0</v>
      </c>
    </row>
    <row r="184" spans="13:13" x14ac:dyDescent="0.35">
      <c r="M184">
        <f t="shared" si="6"/>
        <v>0</v>
      </c>
    </row>
    <row r="185" spans="13:13" x14ac:dyDescent="0.35">
      <c r="M185">
        <f t="shared" si="6"/>
        <v>0</v>
      </c>
    </row>
    <row r="186" spans="13:13" x14ac:dyDescent="0.35">
      <c r="M186">
        <f t="shared" si="6"/>
        <v>0</v>
      </c>
    </row>
    <row r="187" spans="13:13" x14ac:dyDescent="0.35">
      <c r="M187">
        <f t="shared" si="6"/>
        <v>0</v>
      </c>
    </row>
    <row r="188" spans="13:13" x14ac:dyDescent="0.35">
      <c r="M188">
        <f t="shared" si="6"/>
        <v>0</v>
      </c>
    </row>
    <row r="189" spans="13:13" x14ac:dyDescent="0.35">
      <c r="M189">
        <f t="shared" si="6"/>
        <v>0</v>
      </c>
    </row>
    <row r="190" spans="13:13" x14ac:dyDescent="0.35">
      <c r="M190">
        <f t="shared" si="6"/>
        <v>0</v>
      </c>
    </row>
    <row r="191" spans="13:13" x14ac:dyDescent="0.35">
      <c r="M191">
        <f t="shared" si="6"/>
        <v>0</v>
      </c>
    </row>
    <row r="192" spans="13:13" x14ac:dyDescent="0.35">
      <c r="M192">
        <f t="shared" si="6"/>
        <v>0</v>
      </c>
    </row>
    <row r="193" spans="13:13" x14ac:dyDescent="0.35">
      <c r="M193">
        <f t="shared" si="6"/>
        <v>0</v>
      </c>
    </row>
    <row r="194" spans="13:13" x14ac:dyDescent="0.35">
      <c r="M194">
        <f t="shared" si="6"/>
        <v>0</v>
      </c>
    </row>
    <row r="195" spans="13:13" x14ac:dyDescent="0.35">
      <c r="M195">
        <f t="shared" ref="M195:M202" si="7">K195-J195</f>
        <v>0</v>
      </c>
    </row>
    <row r="196" spans="13:13" x14ac:dyDescent="0.35">
      <c r="M196">
        <f t="shared" si="7"/>
        <v>0</v>
      </c>
    </row>
    <row r="197" spans="13:13" x14ac:dyDescent="0.35">
      <c r="M197">
        <f t="shared" si="7"/>
        <v>0</v>
      </c>
    </row>
    <row r="198" spans="13:13" x14ac:dyDescent="0.35">
      <c r="M198">
        <f t="shared" si="7"/>
        <v>0</v>
      </c>
    </row>
    <row r="199" spans="13:13" x14ac:dyDescent="0.35">
      <c r="M199">
        <f t="shared" si="7"/>
        <v>0</v>
      </c>
    </row>
    <row r="200" spans="13:13" x14ac:dyDescent="0.35">
      <c r="M200">
        <f t="shared" si="7"/>
        <v>0</v>
      </c>
    </row>
    <row r="201" spans="13:13" x14ac:dyDescent="0.35">
      <c r="M201">
        <f t="shared" si="7"/>
        <v>0</v>
      </c>
    </row>
    <row r="202" spans="13:13" x14ac:dyDescent="0.35">
      <c r="M202">
        <f t="shared" si="7"/>
        <v>0</v>
      </c>
    </row>
  </sheetData>
  <conditionalFormatting sqref="L2:L201">
    <cfRule type="cellIs" dxfId="2" priority="1" operator="greaterThanOrEqual">
      <formula>80</formula>
    </cfRule>
    <cfRule type="cellIs" dxfId="1" priority="2" operator="between">
      <formula>40</formula>
      <formula>79</formula>
    </cfRule>
    <cfRule type="cellIs" dxfId="0" priority="3" operator="lessThan">
      <formula>40</formula>
    </cfRule>
  </conditionalFormatting>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7"/>
  <sheetViews>
    <sheetView workbookViewId="0">
      <selection activeCell="A2" sqref="A2"/>
    </sheetView>
  </sheetViews>
  <sheetFormatPr baseColWidth="10" defaultColWidth="8.81640625" defaultRowHeight="14.5" x14ac:dyDescent="0.35"/>
  <cols>
    <col min="1" max="1" width="17" customWidth="1"/>
    <col min="2" max="2" width="21.6328125" customWidth="1"/>
  </cols>
  <sheetData>
    <row r="1" spans="1:1" x14ac:dyDescent="0.35">
      <c r="A1" t="s">
        <v>15</v>
      </c>
    </row>
    <row r="2" spans="1:1" x14ac:dyDescent="0.35">
      <c r="A2" t="s">
        <v>16</v>
      </c>
    </row>
    <row r="3" spans="1:1" x14ac:dyDescent="0.35">
      <c r="A3" t="s">
        <v>17</v>
      </c>
    </row>
    <row r="4" spans="1:1" x14ac:dyDescent="0.35">
      <c r="A4" t="s">
        <v>18</v>
      </c>
    </row>
    <row r="5" spans="1:1" x14ac:dyDescent="0.35">
      <c r="A5" t="s">
        <v>19</v>
      </c>
    </row>
    <row r="6" spans="1:1" x14ac:dyDescent="0.35">
      <c r="A6" t="s">
        <v>20</v>
      </c>
    </row>
    <row r="7" spans="1:1" x14ac:dyDescent="0.35">
      <c r="A7" t="s">
        <v>21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8"/>
  <sheetViews>
    <sheetView workbookViewId="0"/>
  </sheetViews>
  <sheetFormatPr baseColWidth="10" defaultColWidth="8.81640625" defaultRowHeight="14.5" x14ac:dyDescent="0.35"/>
  <cols>
    <col min="1" max="1" width="21.6328125" customWidth="1"/>
  </cols>
  <sheetData>
    <row r="1" spans="1:5" ht="21" x14ac:dyDescent="0.5">
      <c r="A1" s="2" t="s">
        <v>22</v>
      </c>
    </row>
    <row r="2" spans="1:5" x14ac:dyDescent="0.35">
      <c r="D2" t="s">
        <v>13</v>
      </c>
      <c r="E2" t="s">
        <v>23</v>
      </c>
    </row>
    <row r="3" spans="1:5" x14ac:dyDescent="0.35">
      <c r="A3" t="s">
        <v>24</v>
      </c>
      <c r="B3">
        <f>COUNTA('Control Retos IA'!C:C)-1</f>
        <v>10</v>
      </c>
      <c r="D3" t="s">
        <v>16</v>
      </c>
      <c r="E3">
        <f>COUNTIF('Control Retos IA'!N:N,D3)</f>
        <v>2</v>
      </c>
    </row>
    <row r="4" spans="1:5" x14ac:dyDescent="0.35">
      <c r="A4" t="s">
        <v>9</v>
      </c>
      <c r="B4">
        <f>SUM('Control Retos IA'!J:J)</f>
        <v>295</v>
      </c>
      <c r="D4" t="s">
        <v>17</v>
      </c>
      <c r="E4">
        <f>COUNTIF('Control Retos IA'!N:N,D4)</f>
        <v>0</v>
      </c>
    </row>
    <row r="5" spans="1:5" x14ac:dyDescent="0.35">
      <c r="A5" t="s">
        <v>10</v>
      </c>
      <c r="B5">
        <f>SUM('Control Retos IA'!K:K)</f>
        <v>75</v>
      </c>
      <c r="D5" t="s">
        <v>18</v>
      </c>
      <c r="E5">
        <f>COUNTIF('Control Retos IA'!N:N,D5)</f>
        <v>0</v>
      </c>
    </row>
    <row r="6" spans="1:5" x14ac:dyDescent="0.35">
      <c r="A6" t="s">
        <v>25</v>
      </c>
      <c r="B6">
        <f>AVERAGE('Control Retos IA'!L:L)</f>
        <v>100</v>
      </c>
      <c r="D6" t="s">
        <v>19</v>
      </c>
      <c r="E6">
        <f>COUNTIF('Control Retos IA'!N:N,D6)</f>
        <v>1</v>
      </c>
    </row>
    <row r="7" spans="1:5" x14ac:dyDescent="0.35">
      <c r="D7" t="s">
        <v>20</v>
      </c>
      <c r="E7">
        <f>COUNTIF('Control Retos IA'!N:N,D7)</f>
        <v>2</v>
      </c>
    </row>
    <row r="8" spans="1:5" x14ac:dyDescent="0.35">
      <c r="D8" t="s">
        <v>21</v>
      </c>
      <c r="E8">
        <f>COUNTIF('Control Retos IA'!N:N,D8)</f>
        <v>0</v>
      </c>
    </row>
  </sheetData>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Control Retos IA</vt:lpstr>
      <vt:lpstr>Catálogos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Lautaro Sarni</cp:lastModifiedBy>
  <dcterms:created xsi:type="dcterms:W3CDTF">2026-06-04T13:34:04Z</dcterms:created>
  <dcterms:modified xsi:type="dcterms:W3CDTF">2026-06-09T10:41:49Z</dcterms:modified>
</cp:coreProperties>
</file>